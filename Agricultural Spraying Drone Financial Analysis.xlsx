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<sst xmlns="http://schemas.openxmlformats.org/spreadsheetml/2006/main" count="24" uniqueCount="21">
  <si>
    <t>Agricultural Spraying Drone Financial Analysis – AgroFly Solutions Pvt. Ltd.</t>
  </si>
  <si>
    <t>Q1. Calculate the total annual savings if operational costs reduce by 35%.</t>
  </si>
  <si>
    <t>4. Operational Cost Comparison</t>
  </si>
  <si>
    <t>1. Financial Data and Assumptions</t>
  </si>
  <si>
    <t>Current Operational Cost</t>
  </si>
  <si>
    <t>New Operational Cost</t>
  </si>
  <si>
    <t>Cost Reduction (%)</t>
  </si>
  <si>
    <t>Annual Savings</t>
  </si>
  <si>
    <t>Drone Investment Cost</t>
  </si>
  <si>
    <t>The graph compares the current operational cost, new operational cost after drone implementation, 
and the annual savings achieved by the company. It clearly illustrates that adopting 
agricultural drones significantly reduces operational expenses and improves overall efficiency.</t>
  </si>
  <si>
    <t>This table shows the current operational cost of manual pesticide spraying and 
the expected cost reduction after implementing agricultural drones. 
Based on the case study, operational costs are expected to decrease by 35%, 
resulting in significant annual savings.</t>
  </si>
  <si>
    <t>2. Operational Cost After Drone Implementation</t>
  </si>
  <si>
    <t>After implementing agricultural spraying drones, the operational cost decreases 
from ₹90 lakhs to ₹58.5 lakhs annually, demonstrating improved efficiency 
and reduced labor costs.</t>
  </si>
  <si>
    <t>Q2. Calculate the Net Benefit after investment.</t>
  </si>
  <si>
    <t>3. Investment Analysis</t>
  </si>
  <si>
    <t>Payback Period (Years)</t>
  </si>
  <si>
    <t>Net Benefit (Year 1)</t>
  </si>
  <si>
    <t>Although the first year shows a negative net benefit due to the initial drone investment 
of ₹60 lakhs, the payback period is approximately 1.9 years. After this period, 
the company will start generating financial benefits from the investment.</t>
  </si>
  <si>
    <t>How does improved spraying efficiency increase farmer satisfaction and retention?</t>
  </si>
  <si>
    <t>5. Business Impact and Customer Satisfaction</t>
  </si>
  <si>
    <t xml:space="preserve">Improved spraying efficiency allows drones to cover large agricultural fields quickly and accurately. 
This reduces delays in pesticide application, protects crops more effectively, and increases crop productivity. 
As farmers experience better crop yields and faster service, their satisfaction increases. This leads to 
improved customer retention and long-term relationships with AgroFly Solutions Pvt. Ltd.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</si>
</sst>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b/>
      <sz val="16.0"/>
      <color rgb="FFFFFFFF"/>
      <name val="Arial"/>
      <scheme val="minor"/>
    </font>
    <font/>
    <font>
      <b/>
      <sz val="12.0"/>
      <color theme="1"/>
      <name val="Arial"/>
      <scheme val="minor"/>
    </font>
    <font>
      <b/>
      <sz val="13.0"/>
      <color theme="1"/>
      <name val="Arial"/>
      <scheme val="minor"/>
    </font>
    <font>
      <sz val="12.0"/>
      <color theme="1"/>
      <name val="Arial"/>
      <scheme val="minor"/>
    </font>
    <font>
      <sz val="11.0"/>
      <color theme="1"/>
      <name val="Arial"/>
      <scheme val="minor"/>
    </font>
  </fonts>
  <fills count="11">
    <fill>
      <patternFill patternType="none"/>
    </fill>
    <fill>
      <patternFill patternType="lightGray"/>
    </fill>
    <fill>
      <patternFill patternType="solid">
        <fgColor rgb="FF6AA84F"/>
        <bgColor rgb="FF6AA84F"/>
      </patternFill>
    </fill>
    <fill>
      <patternFill patternType="solid">
        <fgColor rgb="FFEAD1DC"/>
        <bgColor rgb="FFEAD1DC"/>
      </patternFill>
    </fill>
    <fill>
      <patternFill patternType="solid">
        <fgColor rgb="FFFFF2CC"/>
        <bgColor rgb="FFFFF2CC"/>
      </patternFill>
    </fill>
    <fill>
      <patternFill patternType="solid">
        <fgColor rgb="FFD9D2E9"/>
        <bgColor rgb="FFD9D2E9"/>
      </patternFill>
    </fill>
    <fill>
      <patternFill patternType="solid">
        <fgColor rgb="FFB6D7A8"/>
        <bgColor rgb="FFB6D7A8"/>
      </patternFill>
    </fill>
    <fill>
      <patternFill patternType="solid">
        <fgColor rgb="FFD0E0E3"/>
        <bgColor rgb="FFD0E0E3"/>
      </patternFill>
    </fill>
    <fill>
      <patternFill patternType="solid">
        <fgColor rgb="FFE6B8AF"/>
        <bgColor rgb="FFE6B8AF"/>
      </patternFill>
    </fill>
    <fill>
      <patternFill patternType="solid">
        <fgColor rgb="FFF4CCCC"/>
        <bgColor rgb="FFF4CCCC"/>
      </patternFill>
    </fill>
    <fill>
      <patternFill patternType="solid">
        <fgColor rgb="FFC9DAF8"/>
        <bgColor rgb="FFC9DAF8"/>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vertical="center"/>
    </xf>
    <xf borderId="1" fillId="2"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5" numFmtId="0" xfId="0" applyAlignment="1" applyFont="1">
      <alignment readingOrder="0"/>
    </xf>
    <xf borderId="1" fillId="3" fontId="6" numFmtId="0" xfId="0" applyAlignment="1" applyBorder="1" applyFill="1" applyFont="1">
      <alignment readingOrder="0"/>
    </xf>
    <xf borderId="1" fillId="4" fontId="6" numFmtId="0" xfId="0" applyAlignment="1" applyBorder="1" applyFill="1" applyFont="1">
      <alignment horizontal="center" readingOrder="0"/>
    </xf>
    <xf borderId="4" fillId="5" fontId="7" numFmtId="0" xfId="0" applyAlignment="1" applyBorder="1" applyFill="1" applyFont="1">
      <alignment readingOrder="0"/>
    </xf>
    <xf borderId="4" fillId="0" fontId="7" numFmtId="0" xfId="0" applyAlignment="1" applyBorder="1" applyFont="1">
      <alignment readingOrder="0"/>
    </xf>
    <xf borderId="4" fillId="6" fontId="7" numFmtId="0" xfId="0" applyAlignment="1" applyBorder="1" applyFill="1" applyFont="1">
      <alignment readingOrder="0"/>
    </xf>
    <xf borderId="4" fillId="0" fontId="7" numFmtId="9" xfId="0" applyAlignment="1" applyBorder="1" applyFont="1" applyNumberFormat="1">
      <alignment readingOrder="0"/>
    </xf>
    <xf borderId="0" fillId="0" fontId="2" numFmtId="0" xfId="0" applyAlignment="1" applyFont="1">
      <alignment readingOrder="0"/>
    </xf>
    <xf borderId="4" fillId="0" fontId="7" numFmtId="0" xfId="0" applyBorder="1" applyFont="1"/>
    <xf borderId="0" fillId="0" fontId="7" numFmtId="0" xfId="0" applyAlignment="1" applyFont="1">
      <alignment readingOrder="0" vertical="center"/>
    </xf>
    <xf borderId="0" fillId="0" fontId="7" numFmtId="0" xfId="0" applyAlignment="1" applyFont="1">
      <alignment readingOrder="0"/>
    </xf>
    <xf borderId="1" fillId="7" fontId="6" numFmtId="0" xfId="0" applyAlignment="1" applyBorder="1" applyFill="1" applyFont="1">
      <alignment horizontal="center" readingOrder="0"/>
    </xf>
    <xf borderId="4" fillId="8" fontId="7" numFmtId="0" xfId="0" applyAlignment="1" applyBorder="1" applyFill="1" applyFont="1">
      <alignment horizontal="center" readingOrder="0" vertical="center"/>
    </xf>
    <xf borderId="4" fillId="0" fontId="7" numFmtId="0" xfId="0" applyAlignment="1" applyBorder="1" applyFont="1">
      <alignment horizontal="center" vertical="center"/>
    </xf>
    <xf borderId="1" fillId="9" fontId="5" numFmtId="0" xfId="0" applyAlignment="1" applyBorder="1" applyFill="1" applyFont="1">
      <alignment horizontal="center" readingOrder="0"/>
    </xf>
    <xf borderId="4" fillId="10" fontId="7" numFmtId="0" xfId="0" applyAlignment="1" applyBorder="1" applyFill="1" applyFont="1">
      <alignment readingOrder="0" vertical="center"/>
    </xf>
    <xf borderId="4" fillId="0" fontId="7" numFmtId="0" xfId="0" applyAlignment="1" applyBorder="1" applyFont="1">
      <alignment vertical="center"/>
    </xf>
    <xf borderId="0" fillId="0" fontId="8"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Operational Cost Comparison</a:t>
            </a:r>
          </a:p>
        </c:rich>
      </c:tx>
      <c:overlay val="0"/>
    </c:title>
    <c:plotArea>
      <c:layout/>
      <c:barChart>
        <c:barDir val="col"/>
        <c:ser>
          <c:idx val="0"/>
          <c:order val="0"/>
          <c:spPr>
            <a:solidFill>
              <a:schemeClr val="accent1"/>
            </a:solidFill>
            <a:ln cmpd="sng">
              <a:solidFill>
                <a:srgbClr val="000000"/>
              </a:solidFill>
            </a:ln>
          </c:spPr>
          <c:cat>
            <c:strRef>
              <c:f>Sheet1!$J$7:$J$9</c:f>
            </c:strRef>
          </c:cat>
          <c:val>
            <c:numRef>
              <c:f>Sheet1!$J$7:$J$9</c:f>
              <c:numCache/>
            </c:numRef>
          </c:val>
        </c:ser>
        <c:axId val="1423630317"/>
        <c:axId val="1979147751"/>
      </c:barChart>
      <c:catAx>
        <c:axId val="14236303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79147751"/>
      </c:catAx>
      <c:valAx>
        <c:axId val="19791477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363031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219075</xdr:colOff>
      <xdr:row>14</xdr:row>
      <xdr:rowOff>57150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24.13"/>
    <col customWidth="1" min="4" max="4" width="32.88"/>
    <col customWidth="1" min="5" max="5" width="23.38"/>
    <col customWidth="1" min="6" max="6" width="17.13"/>
    <col customWidth="1" min="7" max="7" width="15.25"/>
    <col customWidth="1" min="9" max="9" width="25.38"/>
    <col customWidth="1" min="10" max="10" width="25.75"/>
    <col customWidth="1" min="11" max="11" width="15.25"/>
    <col customWidth="1" min="12" max="12" width="24.5"/>
  </cols>
  <sheetData>
    <row r="1">
      <c r="A1" s="1"/>
      <c r="B1" s="1"/>
    </row>
    <row r="2" ht="29.25" customHeight="1">
      <c r="A2" s="2"/>
      <c r="B2" s="2"/>
      <c r="C2" s="2"/>
      <c r="D2" s="3" t="s">
        <v>0</v>
      </c>
      <c r="E2" s="4"/>
      <c r="F2" s="4"/>
      <c r="G2" s="4"/>
      <c r="H2" s="4"/>
      <c r="I2" s="4"/>
      <c r="J2" s="5"/>
      <c r="K2" s="2"/>
      <c r="L2" s="2"/>
      <c r="M2" s="2"/>
      <c r="N2" s="2"/>
      <c r="O2" s="2"/>
      <c r="P2" s="2"/>
      <c r="Q2" s="2"/>
      <c r="R2" s="2"/>
      <c r="S2" s="2"/>
      <c r="T2" s="2"/>
      <c r="U2" s="2"/>
      <c r="V2" s="2"/>
      <c r="W2" s="2"/>
      <c r="X2" s="2"/>
      <c r="Y2" s="2"/>
      <c r="Z2" s="2"/>
    </row>
    <row r="6" ht="22.5" customHeight="1">
      <c r="D6" s="6" t="s">
        <v>1</v>
      </c>
      <c r="I6" s="7" t="s">
        <v>2</v>
      </c>
      <c r="J6" s="5"/>
    </row>
    <row r="7" ht="22.5" customHeight="1">
      <c r="D7" s="8" t="s">
        <v>3</v>
      </c>
      <c r="E7" s="5"/>
      <c r="I7" s="9" t="s">
        <v>4</v>
      </c>
      <c r="J7" s="10">
        <v>9000000.0</v>
      </c>
    </row>
    <row r="8" ht="22.5" customHeight="1">
      <c r="D8" s="11" t="s">
        <v>4</v>
      </c>
      <c r="E8" s="10">
        <v>9000000.0</v>
      </c>
      <c r="I8" s="9" t="s">
        <v>5</v>
      </c>
      <c r="J8" s="10">
        <v>5850000.0</v>
      </c>
    </row>
    <row r="9" ht="22.5" customHeight="1">
      <c r="D9" s="11" t="s">
        <v>6</v>
      </c>
      <c r="E9" s="12">
        <v>0.35</v>
      </c>
      <c r="I9" s="9" t="s">
        <v>7</v>
      </c>
      <c r="J9" s="10">
        <v>3150000.0</v>
      </c>
    </row>
    <row r="10">
      <c r="B10" s="13"/>
      <c r="D10" s="11" t="s">
        <v>8</v>
      </c>
      <c r="E10" s="10">
        <v>6000000.0</v>
      </c>
    </row>
    <row r="11" ht="33.75" customHeight="1">
      <c r="D11" s="11" t="s">
        <v>7</v>
      </c>
      <c r="E11" s="14">
        <f>MULTIPLY(E8,E9)</f>
        <v>3150000</v>
      </c>
      <c r="I11" s="15" t="s">
        <v>9</v>
      </c>
    </row>
    <row r="13">
      <c r="D13" s="16" t="s">
        <v>10</v>
      </c>
    </row>
    <row r="16" ht="20.25" customHeight="1"/>
    <row r="18">
      <c r="D18" s="17" t="s">
        <v>11</v>
      </c>
      <c r="E18" s="5"/>
    </row>
    <row r="19">
      <c r="D19" s="18" t="s">
        <v>5</v>
      </c>
      <c r="E19" s="19">
        <f>MINUS(E8,E11)</f>
        <v>5850000</v>
      </c>
    </row>
    <row r="20" ht="18.0" customHeight="1"/>
    <row r="21" ht="18.0" customHeight="1">
      <c r="D21" s="16" t="s">
        <v>12</v>
      </c>
    </row>
    <row r="24" ht="21.0" customHeight="1"/>
    <row r="25" ht="21.0" customHeight="1"/>
    <row r="26">
      <c r="D26" s="6" t="s">
        <v>13</v>
      </c>
    </row>
    <row r="27">
      <c r="D27" s="20" t="s">
        <v>14</v>
      </c>
      <c r="E27" s="5"/>
    </row>
    <row r="28">
      <c r="D28" s="21" t="s">
        <v>15</v>
      </c>
      <c r="E28" s="22">
        <f>DIVIDE(E10,E11)</f>
        <v>1.904761905</v>
      </c>
    </row>
    <row r="29">
      <c r="D29" s="21" t="s">
        <v>16</v>
      </c>
      <c r="E29" s="22">
        <f>MINUS(E11,E10)</f>
        <v>-2850000</v>
      </c>
    </row>
    <row r="31">
      <c r="D31" s="16" t="s">
        <v>17</v>
      </c>
    </row>
    <row r="38">
      <c r="D38" s="6" t="s">
        <v>18</v>
      </c>
    </row>
    <row r="39">
      <c r="D39" s="6" t="s">
        <v>19</v>
      </c>
    </row>
    <row r="40">
      <c r="D40" s="23" t="s">
        <v>20</v>
      </c>
    </row>
  </sheetData>
  <mergeCells count="14">
    <mergeCell ref="D21:F23"/>
    <mergeCell ref="D27:E27"/>
    <mergeCell ref="D31:G33"/>
    <mergeCell ref="D26:F26"/>
    <mergeCell ref="D39:E39"/>
    <mergeCell ref="D38:F38"/>
    <mergeCell ref="D40:G44"/>
    <mergeCell ref="D2:J2"/>
    <mergeCell ref="I6:J6"/>
    <mergeCell ref="I11:L12"/>
    <mergeCell ref="D13:F13"/>
    <mergeCell ref="D7:E7"/>
    <mergeCell ref="D6:F6"/>
    <mergeCell ref="D18:E18"/>
  </mergeCells>
  <drawing r:id="rId1"/>
</worksheet>
</file>